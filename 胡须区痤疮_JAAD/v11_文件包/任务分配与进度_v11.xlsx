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任务分配" sheetId="1" state="visible" r:id="rId3"/>
    <sheet name="待确认决定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<sst xmlns="http://schemas.openxmlformats.org/spreadsheetml/2006/main" count="228" uniqueCount="146">
  <si>
    <r>
      <rPr>
        <b val="true"/>
        <sz val="14"/>
        <rFont val="Noto Sans CJK SC"/>
        <family val="2"/>
      </rPr>
      <t xml:space="preserve">胡须区痤疮研究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任务分配与进度（</t>
    </r>
    <r>
      <rPr>
        <b val="true"/>
        <sz val="14"/>
        <rFont val="Arial"/>
        <family val="0"/>
        <charset val="1"/>
      </rPr>
      <t xml:space="preserve">2026-10-11</t>
    </r>
    <r>
      <rPr>
        <b val="true"/>
        <sz val="14"/>
        <rFont val="Noto Sans CJK SC"/>
        <family val="2"/>
      </rPr>
      <t xml:space="preserve">，</t>
    </r>
    <r>
      <rPr>
        <b val="true"/>
        <sz val="14"/>
        <rFont val="Arial"/>
        <family val="0"/>
        <charset val="1"/>
      </rPr>
      <t xml:space="preserve">v11</t>
    </r>
    <r>
      <rPr>
        <b val="true"/>
        <sz val="14"/>
        <rFont val="Noto Sans CJK SC"/>
        <family val="2"/>
      </rPr>
      <t xml:space="preserve">）</t>
    </r>
  </si>
  <si>
    <r>
      <rPr>
        <sz val="10"/>
        <color rgb="FF595959"/>
        <rFont val="Noto Sans CJK SC"/>
        <family val="2"/>
      </rPr>
      <t xml:space="preserve">顺序：先把证据链、问卷对应和图表打磨到位（阶段 </t>
    </r>
    <r>
      <rPr>
        <sz val="10"/>
        <color rgb="FF595959"/>
        <rFont val="Arial"/>
        <family val="0"/>
        <charset val="1"/>
      </rPr>
      <t xml:space="preserve">A</t>
    </r>
    <r>
      <rPr>
        <sz val="10"/>
        <color rgb="FF595959"/>
        <rFont val="Noto Sans CJK SC"/>
        <family val="2"/>
      </rPr>
      <t xml:space="preserve">），再进入数据准备与真实数据阶段。黄色列可编辑；状态从下拉列表选择。</t>
    </r>
  </si>
  <si>
    <t xml:space="preserve">阶段</t>
  </si>
  <si>
    <t xml:space="preserve">编号</t>
  </si>
  <si>
    <t xml:space="preserve">任务</t>
  </si>
  <si>
    <t xml:space="preserve">负责</t>
  </si>
  <si>
    <t xml:space="preserve">依赖</t>
  </si>
  <si>
    <t xml:space="preserve">交付物</t>
  </si>
  <si>
    <t xml:space="preserve">验收标准</t>
  </si>
  <si>
    <t xml:space="preserve">状态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</si>
  <si>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证据链与文稿定型</t>
    </r>
  </si>
  <si>
    <t xml:space="preserve">A1</t>
  </si>
  <si>
    <t xml:space="preserve">改为区域表型框架，三步证据链（相容→区别→临床相关）</t>
  </si>
  <si>
    <t xml:space="preserve">Claude</t>
  </si>
  <si>
    <t xml:space="preserve">—</t>
  </si>
  <si>
    <r>
      <rPr>
        <sz val="10"/>
        <rFont val="Noto Sans CJK SC"/>
        <family val="2"/>
      </rPr>
      <t xml:space="preserve">主文 </t>
    </r>
    <r>
      <rPr>
        <sz val="10"/>
        <rFont val="Arial"/>
        <family val="0"/>
        <charset val="1"/>
      </rPr>
      <t xml:space="preserve">v11</t>
    </r>
  </si>
  <si>
    <r>
      <rPr>
        <sz val="10"/>
        <rFont val="Noto Sans CJK SC"/>
        <family val="2"/>
      </rPr>
      <t xml:space="preserve">题目为问句；正文按三步组织；≤</t>
    </r>
    <r>
      <rPr>
        <sz val="10"/>
        <rFont val="Arial"/>
        <family val="0"/>
        <charset val="1"/>
      </rPr>
      <t xml:space="preserve">500 </t>
    </r>
    <r>
      <rPr>
        <sz val="10"/>
        <rFont val="Noto Sans CJK SC"/>
        <family val="2"/>
      </rPr>
      <t xml:space="preserve">词</t>
    </r>
  </si>
  <si>
    <t xml:space="preserve">已完成</t>
  </si>
  <si>
    <t xml:space="preserve">A2</t>
  </si>
  <si>
    <t xml:space="preserve">修正五处过度表述</t>
  </si>
  <si>
    <r>
      <rPr>
        <sz val="10"/>
        <rFont val="Noto Sans CJK SC"/>
        <family val="2"/>
      </rPr>
      <t xml:space="preserve">主文、补充材料 </t>
    </r>
    <r>
      <rPr>
        <sz val="10"/>
        <rFont val="Arial"/>
        <family val="0"/>
        <charset val="1"/>
      </rPr>
      <t xml:space="preserve">v11</t>
    </r>
  </si>
  <si>
    <r>
      <rPr>
        <sz val="10"/>
        <rFont val="Noto Sans CJK SC"/>
        <family val="2"/>
      </rPr>
      <t xml:space="preserve">同人对比、全脸分级、</t>
    </r>
    <r>
      <rPr>
        <sz val="10"/>
        <rFont val="Arial"/>
        <family val="0"/>
        <charset val="1"/>
      </rPr>
      <t xml:space="preserve">III–IV </t>
    </r>
    <r>
      <rPr>
        <sz val="10"/>
        <rFont val="Noto Sans CJK SC"/>
        <family val="2"/>
      </rPr>
      <t xml:space="preserve">措辞、</t>
    </r>
    <r>
      <rPr>
        <sz val="10"/>
        <rFont val="Arial"/>
        <family val="0"/>
        <charset val="1"/>
      </rPr>
      <t xml:space="preserve">18–25 </t>
    </r>
    <r>
      <rPr>
        <sz val="10"/>
        <rFont val="Noto Sans CJK SC"/>
        <family val="2"/>
      </rPr>
      <t xml:space="preserve">岁与出油解释、活动门槛均已改写</t>
    </r>
  </si>
  <si>
    <t xml:space="preserve">A3</t>
  </si>
  <si>
    <t xml:space="preserve">四个因素改称临床线索</t>
  </si>
  <si>
    <r>
      <rPr>
        <sz val="10"/>
        <rFont val="Noto Sans CJK SC"/>
        <family val="2"/>
      </rPr>
      <t xml:space="preserve">不再写成激素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代谢测量</t>
    </r>
  </si>
  <si>
    <t xml:space="preserve">A4</t>
  </si>
  <si>
    <r>
      <rPr>
        <b val="true"/>
        <sz val="10"/>
        <rFont val="Noto Sans CJK SC"/>
        <family val="2"/>
      </rPr>
      <t xml:space="preserve">首段研究空白按 </t>
    </r>
    <r>
      <rPr>
        <b val="true"/>
        <sz val="10"/>
        <rFont val="Arial"/>
        <family val="0"/>
        <charset val="1"/>
      </rPr>
      <t xml:space="preserve">FASCE </t>
    </r>
    <r>
      <rPr>
        <b val="true"/>
        <sz val="10"/>
        <rFont val="Noto Sans CJK SC"/>
        <family val="2"/>
      </rPr>
      <t xml:space="preserve">修正</t>
    </r>
  </si>
  <si>
    <r>
      <rPr>
        <sz val="10"/>
        <rFont val="Noto Sans CJK SC"/>
        <family val="2"/>
      </rPr>
      <t xml:space="preserve">引用 </t>
    </r>
    <r>
      <rPr>
        <sz val="10"/>
        <rFont val="Arial"/>
        <family val="0"/>
        <charset val="1"/>
      </rPr>
      <t xml:space="preserve">FASCE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SAFA </t>
    </r>
    <r>
      <rPr>
        <sz val="10"/>
        <rFont val="Noto Sans CJK SC"/>
        <family val="2"/>
      </rPr>
      <t xml:space="preserve">移入补充材料</t>
    </r>
  </si>
  <si>
    <t xml:space="preserve">A5</t>
  </si>
  <si>
    <r>
      <rPr>
        <b val="true"/>
        <sz val="10"/>
        <rFont val="Noto Sans CJK SC"/>
        <family val="2"/>
      </rPr>
      <t xml:space="preserve">图表按 </t>
    </r>
    <r>
      <rPr>
        <b val="true"/>
        <sz val="10"/>
        <rFont val="Arial"/>
        <family val="0"/>
        <charset val="1"/>
      </rPr>
      <t xml:space="preserve">JAAD </t>
    </r>
    <r>
      <rPr>
        <b val="true"/>
        <sz val="10"/>
        <rFont val="Noto Sans CJK SC"/>
        <family val="2"/>
      </rPr>
      <t xml:space="preserve">规则合规（合计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项）</t>
    </r>
  </si>
  <si>
    <r>
      <rPr>
        <sz val="10"/>
        <rFont val="Noto Sans CJK SC"/>
        <family val="2"/>
      </rPr>
      <t xml:space="preserve">单面板图 </t>
    </r>
    <r>
      <rPr>
        <sz val="10"/>
        <rFont val="Arial"/>
        <family val="0"/>
        <charset val="1"/>
      </rPr>
      <t xml:space="preserve">1 +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I</t>
    </r>
    <r>
      <rPr>
        <sz val="10"/>
        <rFont val="Noto Sans CJK SC"/>
        <family val="2"/>
      </rPr>
      <t xml:space="preserve">；补充图 </t>
    </r>
    <r>
      <rPr>
        <sz val="10"/>
        <rFont val="Arial"/>
        <family val="0"/>
        <charset val="1"/>
      </rPr>
      <t xml:space="preserve">S1</t>
    </r>
  </si>
  <si>
    <r>
      <rPr>
        <sz val="10"/>
        <rFont val="Noto Sans CJK SC"/>
        <family val="2"/>
      </rPr>
      <t xml:space="preserve">多面板计数规则下不超过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项</t>
    </r>
  </si>
  <si>
    <t xml:space="preserve">A6</t>
  </si>
  <si>
    <t xml:space="preserve">补充材料：相容性检验、临床相关层、预设判定标准</t>
  </si>
  <si>
    <r>
      <rPr>
        <sz val="10"/>
        <rFont val="Noto Sans CJK SC"/>
        <family val="2"/>
      </rPr>
      <t xml:space="preserve">补充材料 </t>
    </r>
    <r>
      <rPr>
        <sz val="10"/>
        <rFont val="Arial"/>
        <family val="0"/>
        <charset val="1"/>
      </rPr>
      <t xml:space="preserve">v11</t>
    </r>
    <r>
      <rPr>
        <sz val="10"/>
        <rFont val="Noto Sans CJK SC"/>
        <family val="2"/>
      </rPr>
      <t xml:space="preserve">（表 </t>
    </r>
    <r>
      <rPr>
        <sz val="10"/>
        <rFont val="Arial"/>
        <family val="0"/>
        <charset val="1"/>
      </rPr>
      <t xml:space="preserve">S1–S7</t>
    </r>
    <r>
      <rPr>
        <sz val="10"/>
        <rFont val="Noto Sans CJK SC"/>
        <family val="2"/>
      </rPr>
      <t xml:space="preserve">）</t>
    </r>
  </si>
  <si>
    <t xml:space="preserve">每一步有预设标准与未达标时的写法</t>
  </si>
  <si>
    <t xml:space="preserve">A7</t>
  </si>
  <si>
    <r>
      <rPr>
        <b val="true"/>
        <sz val="10"/>
        <rFont val="Noto Sans CJK SC"/>
        <family val="2"/>
      </rPr>
      <t xml:space="preserve">确认判定阈值、题目形式、</t>
    </r>
    <r>
      <rPr>
        <b val="true"/>
        <sz val="10"/>
        <rFont val="Arial"/>
        <family val="0"/>
        <charset val="1"/>
      </rPr>
      <t xml:space="preserve">Key Message </t>
    </r>
    <r>
      <rPr>
        <b val="true"/>
        <sz val="10"/>
        <rFont val="Noto Sans CJK SC"/>
        <family val="2"/>
      </rPr>
      <t xml:space="preserve">是否需要</t>
    </r>
  </si>
  <si>
    <t xml:space="preserve">课题组</t>
  </si>
  <si>
    <t xml:space="preserve">确认意见</t>
  </si>
  <si>
    <t xml:space="preserve">三项均有明确决定</t>
  </si>
  <si>
    <t xml:space="preserve">未开始</t>
  </si>
  <si>
    <t xml:space="preserve">A8</t>
  </si>
  <si>
    <r>
      <rPr>
        <b val="true"/>
        <sz val="10"/>
        <rFont val="Noto Sans CJK SC"/>
        <family val="2"/>
      </rPr>
      <t xml:space="preserve">独立统计分析计划（</t>
    </r>
    <r>
      <rPr>
        <b val="true"/>
        <sz val="10"/>
        <rFont val="Arial"/>
        <family val="0"/>
        <charset val="1"/>
      </rPr>
      <t xml:space="preserve">SAP</t>
    </r>
    <r>
      <rPr>
        <b val="true"/>
        <sz val="10"/>
        <rFont val="Noto Sans CJK SC"/>
        <family val="2"/>
      </rPr>
      <t xml:space="preserve">）文档</t>
    </r>
  </si>
  <si>
    <r>
      <rPr>
        <sz val="10"/>
        <rFont val="Arial"/>
        <family val="0"/>
        <charset val="1"/>
      </rPr>
      <t xml:space="preserve">SAP </t>
    </r>
    <r>
      <rPr>
        <sz val="10"/>
        <rFont val="Noto Sans CJK SC"/>
        <family val="2"/>
      </rPr>
      <t xml:space="preserve">文档（可冻结、可预注册）</t>
    </r>
  </si>
  <si>
    <r>
      <rPr>
        <sz val="10"/>
        <rFont val="Noto Sans CJK SC"/>
        <family val="2"/>
      </rPr>
      <t xml:space="preserve">主要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次要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敏感性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探索分析、判定标准、缺失处理完整</t>
    </r>
  </si>
  <si>
    <t xml:space="preserve">A9</t>
  </si>
  <si>
    <r>
      <rPr>
        <b val="true"/>
        <sz val="10"/>
        <rFont val="Noto Sans CJK SC"/>
        <family val="2"/>
      </rPr>
      <t xml:space="preserve">样本量与检验效能估算（交互项 </t>
    </r>
    <r>
      <rPr>
        <b val="true"/>
        <sz val="10"/>
        <rFont val="Arial"/>
        <family val="0"/>
        <charset val="1"/>
      </rPr>
      <t xml:space="preserve">ROR</t>
    </r>
    <r>
      <rPr>
        <b val="true"/>
        <sz val="10"/>
        <rFont val="Noto Sans CJK SC"/>
        <family val="2"/>
      </rPr>
      <t xml:space="preserve">）</t>
    </r>
  </si>
  <si>
    <t xml:space="preserve">估算说明</t>
  </si>
  <si>
    <t xml:space="preserve">给出目标样本量及依据</t>
  </si>
  <si>
    <t xml:space="preserve">A10</t>
  </si>
  <si>
    <t xml:space="preserve">参考文献逐条核对</t>
  </si>
  <si>
    <r>
      <rPr>
        <sz val="10"/>
        <rFont val="Arial"/>
        <family val="0"/>
        <charset val="1"/>
      </rPr>
      <t xml:space="preserve">Claude </t>
    </r>
    <r>
      <rPr>
        <sz val="10"/>
        <rFont val="Noto Sans CJK SC"/>
        <family val="2"/>
      </rPr>
      <t xml:space="preserve">初核，课题组终核</t>
    </r>
  </si>
  <si>
    <t xml:space="preserve">核对清单</t>
  </si>
  <si>
    <r>
      <rPr>
        <sz val="10"/>
        <rFont val="Arial"/>
        <family val="0"/>
        <charset val="1"/>
      </rPr>
      <t xml:space="preserve">AFAST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Smith 2007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Randall 2008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Telkkälä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Altunel </t>
    </r>
    <r>
      <rPr>
        <sz val="10"/>
        <rFont val="Noto Sans CJK SC"/>
        <family val="2"/>
      </rPr>
      <t xml:space="preserve">等全部确认</t>
    </r>
  </si>
  <si>
    <t xml:space="preserve">A11</t>
  </si>
  <si>
    <r>
      <rPr>
        <b val="true"/>
        <sz val="10"/>
        <rFont val="Noto Sans CJK SC"/>
        <family val="2"/>
      </rPr>
      <t xml:space="preserve">合作者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导师审阅 </t>
    </r>
    <r>
      <rPr>
        <b val="true"/>
        <sz val="10"/>
        <rFont val="Arial"/>
        <family val="0"/>
        <charset val="1"/>
      </rPr>
      <t xml:space="preserve">v11</t>
    </r>
  </si>
  <si>
    <t xml:space="preserve">审阅意见</t>
  </si>
  <si>
    <t xml:space="preserve">意见汇总并决定是否采纳</t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</si>
  <si>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数据准备</t>
    </r>
  </si>
  <si>
    <t xml:space="preserve">B1</t>
  </si>
  <si>
    <t xml:space="preserve">伦理申请材料（方案摘要、知情同意书、问卷）</t>
  </si>
  <si>
    <r>
      <rPr>
        <sz val="10"/>
        <rFont val="Noto Sans CJK SC"/>
        <family val="2"/>
      </rPr>
      <t xml:space="preserve">课题组主导，</t>
    </r>
    <r>
      <rPr>
        <sz val="10"/>
        <rFont val="Arial"/>
        <family val="0"/>
        <charset val="1"/>
      </rPr>
      <t xml:space="preserve">Claude </t>
    </r>
    <r>
      <rPr>
        <sz val="10"/>
        <rFont val="Noto Sans CJK SC"/>
        <family val="2"/>
      </rPr>
      <t xml:space="preserve">起草</t>
    </r>
  </si>
  <si>
    <t xml:space="preserve">伦理申请包</t>
  </si>
  <si>
    <t xml:space="preserve">符合本院伦理委员会格式</t>
  </si>
  <si>
    <t xml:space="preserve">B2</t>
  </si>
  <si>
    <t xml:space="preserve">数据录入模板与编码手册</t>
  </si>
  <si>
    <t xml:space="preserve">问卷定稿</t>
  </si>
  <si>
    <r>
      <rPr>
        <sz val="10"/>
        <rFont val="Noto Sans CJK SC"/>
        <family val="2"/>
      </rPr>
      <t xml:space="preserve">录入表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编码手册</t>
    </r>
  </si>
  <si>
    <t xml:space="preserve">每题有编码、缺失与不适用分开、含逻辑校验</t>
  </si>
  <si>
    <t xml:space="preserve">B3</t>
  </si>
  <si>
    <t xml:space="preserve">分析代码预写并用模拟数据跑通</t>
  </si>
  <si>
    <r>
      <rPr>
        <sz val="10"/>
        <rFont val="Arial"/>
        <family val="0"/>
        <charset val="1"/>
      </rPr>
      <t xml:space="preserve">A8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B2</t>
    </r>
  </si>
  <si>
    <r>
      <rPr>
        <sz val="10"/>
        <rFont val="Noto Sans CJK SC"/>
        <family val="2"/>
      </rPr>
      <t xml:space="preserve">分析脚本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模拟运行报告</t>
    </r>
  </si>
  <si>
    <r>
      <rPr>
        <sz val="10"/>
        <rFont val="Noto Sans CJK SC"/>
        <family val="2"/>
      </rPr>
      <t xml:space="preserve">一键输出表 </t>
    </r>
    <r>
      <rPr>
        <sz val="10"/>
        <rFont val="Arial"/>
        <family val="0"/>
        <charset val="1"/>
      </rPr>
      <t xml:space="preserve">I</t>
    </r>
    <r>
      <rPr>
        <sz val="10"/>
        <rFont val="Noto Sans CJK SC"/>
        <family val="2"/>
      </rPr>
      <t xml:space="preserve">、图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、补充表</t>
    </r>
  </si>
  <si>
    <t xml:space="preserve">B4</t>
  </si>
  <si>
    <r>
      <rPr>
        <b val="true"/>
        <sz val="10"/>
        <rFont val="Noto Sans CJK SC"/>
        <family val="2"/>
      </rPr>
      <t xml:space="preserve">调查员培训：七部位边界、</t>
    </r>
    <r>
      <rPr>
        <b val="true"/>
        <sz val="10"/>
        <rFont val="Arial"/>
        <family val="0"/>
        <charset val="1"/>
      </rPr>
      <t xml:space="preserve">C1/C1-L </t>
    </r>
    <r>
      <rPr>
        <b val="true"/>
        <sz val="10"/>
        <rFont val="Noto Sans CJK SC"/>
        <family val="2"/>
      </rPr>
      <t xml:space="preserve">判读一致</t>
    </r>
  </si>
  <si>
    <t xml:space="preserve">培训记录</t>
  </si>
  <si>
    <t xml:space="preserve">调查员间判读一致性可接受</t>
  </si>
  <si>
    <t xml:space="preserve">B5</t>
  </si>
  <si>
    <r>
      <rPr>
        <b val="true"/>
        <sz val="10"/>
        <rFont val="Noto Sans CJK SC"/>
        <family val="2"/>
      </rPr>
      <t xml:space="preserve">分析计划冻结与预注册（如 </t>
    </r>
    <r>
      <rPr>
        <b val="true"/>
        <sz val="10"/>
        <rFont val="Arial"/>
        <family val="0"/>
        <charset val="1"/>
      </rPr>
      <t xml:space="preserve">OSF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</si>
  <si>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A9</t>
    </r>
  </si>
  <si>
    <t xml:space="preserve">冻结日期或注册号</t>
  </si>
  <si>
    <t xml:space="preserve">在看数据前完成</t>
  </si>
  <si>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数据收集</t>
    </r>
  </si>
  <si>
    <t xml:space="preserve">C1</t>
  </si>
  <si>
    <t xml:space="preserve">伦理批准后收集数据</t>
  </si>
  <si>
    <r>
      <rPr>
        <sz val="10"/>
        <rFont val="Arial"/>
        <family val="0"/>
        <charset val="1"/>
      </rPr>
      <t xml:space="preserve">B1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B5</t>
    </r>
  </si>
  <si>
    <t xml:space="preserve">原始问卷与录入数据</t>
  </si>
  <si>
    <t xml:space="preserve">达到目标样本量</t>
  </si>
  <si>
    <t xml:space="preserve">C2</t>
  </si>
  <si>
    <t xml:space="preserve">中期数据质量检查</t>
  </si>
  <si>
    <r>
      <rPr>
        <sz val="10"/>
        <rFont val="Arial"/>
        <family val="0"/>
        <charset val="1"/>
      </rPr>
      <t xml:space="preserve">C1 </t>
    </r>
    <r>
      <rPr>
        <sz val="10"/>
        <rFont val="Noto Sans CJK SC"/>
        <family val="2"/>
      </rPr>
      <t xml:space="preserve">部分数据</t>
    </r>
  </si>
  <si>
    <t xml:space="preserve">质量检查报告</t>
  </si>
  <si>
    <t xml:space="preserve">缺失、逻辑错误、异常值已标出</t>
  </si>
  <si>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分析与成稿</t>
    </r>
  </si>
  <si>
    <t xml:space="preserve">D1</t>
  </si>
  <si>
    <r>
      <rPr>
        <b val="true"/>
        <sz val="10"/>
        <rFont val="Noto Sans CJK SC"/>
        <family val="2"/>
      </rPr>
      <t xml:space="preserve">按 </t>
    </r>
    <r>
      <rPr>
        <b val="true"/>
        <sz val="10"/>
        <rFont val="Arial"/>
        <family val="0"/>
        <charset val="1"/>
      </rPr>
      <t xml:space="preserve">SAP </t>
    </r>
    <r>
      <rPr>
        <b val="true"/>
        <sz val="10"/>
        <rFont val="Noto Sans CJK SC"/>
        <family val="2"/>
      </rPr>
      <t xml:space="preserve">运行全部分析</t>
    </r>
  </si>
  <si>
    <r>
      <rPr>
        <sz val="10"/>
        <rFont val="Arial"/>
        <family val="0"/>
        <charset val="1"/>
      </rPr>
      <t xml:space="preserve">C1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B3</t>
    </r>
  </si>
  <si>
    <t xml:space="preserve">结果表与图</t>
  </si>
  <si>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SAP </t>
    </r>
    <r>
      <rPr>
        <sz val="10"/>
        <rFont val="Noto Sans CJK SC"/>
        <family val="2"/>
      </rPr>
      <t xml:space="preserve">完全一致，偏离处单独说明</t>
    </r>
  </si>
  <si>
    <t xml:space="preserve">D2</t>
  </si>
  <si>
    <t xml:space="preserve">按预设标准判定三步结果并选结果分支</t>
  </si>
  <si>
    <r>
      <rPr>
        <sz val="10"/>
        <rFont val="Arial"/>
        <family val="0"/>
        <charset val="1"/>
      </rPr>
      <t xml:space="preserve">Claude </t>
    </r>
    <r>
      <rPr>
        <sz val="10"/>
        <rFont val="Noto Sans CJK SC"/>
        <family val="2"/>
      </rPr>
      <t xml:space="preserve">与课题组</t>
    </r>
  </si>
  <si>
    <t xml:space="preserve">判定记录</t>
  </si>
  <si>
    <r>
      <rPr>
        <sz val="10"/>
        <rFont val="Noto Sans CJK SC"/>
        <family val="2"/>
      </rPr>
      <t xml:space="preserve">严格按补充表 </t>
    </r>
    <r>
      <rPr>
        <sz val="10"/>
        <rFont val="Arial"/>
        <family val="0"/>
        <charset val="1"/>
      </rPr>
      <t xml:space="preserve">S1 </t>
    </r>
    <r>
      <rPr>
        <sz val="10"/>
        <rFont val="Noto Sans CJK SC"/>
        <family val="2"/>
      </rPr>
      <t xml:space="preserve">判定</t>
    </r>
  </si>
  <si>
    <t xml:space="preserve">D3</t>
  </si>
  <si>
    <t xml:space="preserve">替换模拟数字、重画图表、定稿</t>
  </si>
  <si>
    <t xml:space="preserve">投稿稿件</t>
  </si>
  <si>
    <r>
      <rPr>
        <sz val="10"/>
        <rFont val="Noto Sans CJK SC"/>
        <family val="2"/>
      </rPr>
      <t xml:space="preserve">无 </t>
    </r>
    <r>
      <rPr>
        <sz val="10"/>
        <rFont val="Arial"/>
        <family val="0"/>
        <charset val="1"/>
      </rPr>
      <t xml:space="preserve">FICTIONAL </t>
    </r>
    <r>
      <rPr>
        <sz val="10"/>
        <rFont val="Noto Sans CJK SC"/>
        <family val="2"/>
      </rPr>
      <t xml:space="preserve">标记与占位符</t>
    </r>
  </si>
  <si>
    <t xml:space="preserve">D4</t>
  </si>
  <si>
    <t xml:space="preserve">字数、文献、作者指南终核</t>
  </si>
  <si>
    <t xml:space="preserve">终核清单</t>
  </si>
  <si>
    <r>
      <rPr>
        <sz val="10"/>
        <rFont val="Arial"/>
        <family val="0"/>
        <charset val="1"/>
      </rPr>
      <t xml:space="preserve">≤500 </t>
    </r>
    <r>
      <rPr>
        <sz val="10"/>
        <rFont val="Noto Sans CJK SC"/>
        <family val="2"/>
      </rPr>
      <t xml:space="preserve">词、≤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条文献、图表 ≤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项</t>
    </r>
  </si>
  <si>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投稿</t>
    </r>
  </si>
  <si>
    <t xml:space="preserve">E1</t>
  </si>
  <si>
    <t xml:space="preserve">投稿信与声明</t>
  </si>
  <si>
    <r>
      <rPr>
        <sz val="10"/>
        <rFont val="Arial"/>
        <family val="0"/>
        <charset val="1"/>
      </rPr>
      <t xml:space="preserve">Claude </t>
    </r>
    <r>
      <rPr>
        <sz val="10"/>
        <rFont val="Noto Sans CJK SC"/>
        <family val="2"/>
      </rPr>
      <t xml:space="preserve">起草，课题组确认</t>
    </r>
  </si>
  <si>
    <t xml:space="preserve">投稿信、声明</t>
  </si>
  <si>
    <t xml:space="preserve">作者、伦理、基金、利益冲突齐全</t>
  </si>
  <si>
    <t xml:space="preserve">E2</t>
  </si>
  <si>
    <t xml:space="preserve">提交投稿</t>
  </si>
  <si>
    <t xml:space="preserve">投稿编号</t>
  </si>
  <si>
    <t xml:space="preserve">状态汇总</t>
  </si>
  <si>
    <t xml:space="preserve">按负责方统计（未完成）</t>
  </si>
  <si>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Claude</t>
    </r>
  </si>
  <si>
    <t xml:space="preserve">进行中</t>
  </si>
  <si>
    <t xml:space="preserve">含 课题组</t>
  </si>
  <si>
    <t xml:space="preserve">暂缓</t>
  </si>
  <si>
    <t xml:space="preserve">合计</t>
  </si>
  <si>
    <r>
      <rPr>
        <b val="true"/>
        <sz val="13"/>
        <rFont val="Noto Sans CJK SC"/>
        <family val="2"/>
      </rPr>
      <t xml:space="preserve">需要课题组确认的决定（对应任务 </t>
    </r>
    <r>
      <rPr>
        <b val="true"/>
        <sz val="13"/>
        <rFont val="Arial"/>
        <family val="0"/>
        <charset val="1"/>
      </rPr>
      <t xml:space="preserve">A7</t>
    </r>
    <r>
      <rPr>
        <b val="true"/>
        <sz val="13"/>
        <rFont val="Noto Sans CJK SC"/>
        <family val="2"/>
      </rPr>
      <t xml:space="preserve">）</t>
    </r>
  </si>
  <si>
    <t xml:space="preserve">决定事项</t>
  </si>
  <si>
    <r>
      <rPr>
        <b val="true"/>
        <sz val="11"/>
        <color rgb="FFFFFFFF"/>
        <rFont val="Noto Sans CJK SC"/>
        <family val="2"/>
      </rPr>
      <t xml:space="preserve">选项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建议</t>
    </r>
  </si>
  <si>
    <t xml:space="preserve">你的决定</t>
  </si>
  <si>
    <t xml:space="preserve">1</t>
  </si>
  <si>
    <t xml:space="preserve">判定标准阈值</t>
  </si>
  <si>
    <r>
      <rPr>
        <sz val="10"/>
        <rFont val="Noto Sans CJK SC"/>
        <family val="2"/>
      </rPr>
      <t xml:space="preserve">建议：每一步按补充表 </t>
    </r>
    <r>
      <rPr>
        <sz val="10"/>
        <rFont val="Arial"/>
        <family val="0"/>
        <charset val="1"/>
      </rPr>
      <t xml:space="preserve">S1</t>
    </r>
    <r>
      <rPr>
        <sz val="10"/>
        <rFont val="Noto Sans CJK SC"/>
        <family val="2"/>
      </rPr>
      <t xml:space="preserve">（如</t>
    </r>
    <r>
      <rPr>
        <sz val="10"/>
        <rFont val="Arial"/>
        <family val="0"/>
        <charset val="1"/>
      </rPr>
      <t xml:space="preserve">"4 </t>
    </r>
    <r>
      <rPr>
        <sz val="10"/>
        <rFont val="Noto Sans CJK SC"/>
        <family val="2"/>
      </rPr>
      <t xml:space="preserve">个线索中至少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）；冻结前可调整，冻结后不可改</t>
    </r>
  </si>
  <si>
    <t xml:space="preserve">2</t>
  </si>
  <si>
    <t xml:space="preserve">题目形式</t>
  </si>
  <si>
    <r>
      <rPr>
        <sz val="10"/>
        <rFont val="Noto Sans CJK SC"/>
        <family val="2"/>
      </rPr>
      <t xml:space="preserve">问句：</t>
    </r>
    <r>
      <rPr>
        <sz val="10"/>
        <rFont val="Arial"/>
        <family val="0"/>
        <charset val="1"/>
      </rPr>
      <t xml:space="preserve">Is Persistent Acne at the Upper Lip, Chin, and Jawline a Distinct Regional Phenotype?</t>
    </r>
    <r>
      <rPr>
        <sz val="10"/>
        <rFont val="Noto Sans CJK SC"/>
        <family val="2"/>
      </rPr>
      <t xml:space="preserve">；备选陈述句：</t>
    </r>
    <r>
      <rPr>
        <sz val="10"/>
        <rFont val="Arial"/>
        <family val="0"/>
        <charset val="1"/>
      </rPr>
      <t xml:space="preserve">Upper Lip, Chin, and Jawline as a Regional Acne Phenotype</t>
    </r>
  </si>
  <si>
    <t xml:space="preserve">3</t>
  </si>
  <si>
    <r>
      <rPr>
        <sz val="10"/>
        <rFont val="Arial"/>
        <family val="0"/>
        <charset val="1"/>
      </rPr>
      <t xml:space="preserve">Key Message </t>
    </r>
    <r>
      <rPr>
        <sz val="10"/>
        <rFont val="Noto Sans CJK SC"/>
        <family val="2"/>
      </rPr>
      <t xml:space="preserve">是否需要</t>
    </r>
  </si>
  <si>
    <r>
      <rPr>
        <sz val="10"/>
        <rFont val="Arial"/>
        <family val="0"/>
        <charset val="1"/>
      </rPr>
      <t xml:space="preserve">JAAD </t>
    </r>
    <r>
      <rPr>
        <sz val="10"/>
        <rFont val="Noto Sans CJK SC"/>
        <family val="2"/>
      </rPr>
      <t xml:space="preserve">官方 </t>
    </r>
    <r>
      <rPr>
        <sz val="10"/>
        <rFont val="Arial"/>
        <family val="0"/>
        <charset val="1"/>
      </rPr>
      <t xml:space="preserve">Research Letter </t>
    </r>
    <r>
      <rPr>
        <sz val="10"/>
        <rFont val="Noto Sans CJK SC"/>
        <family val="2"/>
      </rPr>
      <t xml:space="preserve">说明未提及；请在投稿系统中确认。不需要则正文多约 </t>
    </r>
    <r>
      <rPr>
        <sz val="10"/>
        <rFont val="Arial"/>
        <family val="0"/>
        <charset val="1"/>
      </rPr>
      <t xml:space="preserve">30 </t>
    </r>
    <r>
      <rPr>
        <sz val="10"/>
        <rFont val="Noto Sans CJK SC"/>
        <family val="2"/>
      </rPr>
      <t xml:space="preserve">词空间</t>
    </r>
  </si>
  <si>
    <t xml:space="preserve">4</t>
  </si>
  <si>
    <r>
      <rPr>
        <sz val="10"/>
        <rFont val="Noto Sans CJK SC"/>
        <family val="2"/>
      </rPr>
      <t xml:space="preserve">双向版（</t>
    </r>
    <r>
      <rPr>
        <sz val="10"/>
        <rFont val="Arial"/>
        <family val="0"/>
        <charset val="1"/>
      </rPr>
      <t xml:space="preserve">v9</t>
    </r>
    <r>
      <rPr>
        <sz val="10"/>
        <rFont val="Noto Sans CJK SC"/>
        <family val="2"/>
      </rPr>
      <t xml:space="preserve">）是否保留为备选</t>
    </r>
  </si>
  <si>
    <r>
      <rPr>
        <sz val="10"/>
        <rFont val="Noto Sans CJK SC"/>
        <family val="2"/>
      </rPr>
      <t xml:space="preserve">建议：以 </t>
    </r>
    <r>
      <rPr>
        <sz val="10"/>
        <rFont val="Arial"/>
        <family val="0"/>
        <charset val="1"/>
      </rPr>
      <t xml:space="preserve">v11 </t>
    </r>
    <r>
      <rPr>
        <sz val="10"/>
        <rFont val="Noto Sans CJK SC"/>
        <family val="2"/>
      </rPr>
      <t xml:space="preserve">为主线；</t>
    </r>
    <r>
      <rPr>
        <sz val="10"/>
        <rFont val="Arial"/>
        <family val="0"/>
        <charset val="1"/>
      </rPr>
      <t xml:space="preserve">v9 </t>
    </r>
    <r>
      <rPr>
        <sz val="10"/>
        <rFont val="Noto Sans CJK SC"/>
        <family val="2"/>
      </rPr>
      <t xml:space="preserve">存档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</si>
</sst>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0"/>
      <color rgb="FF595959"/>
      <name val="Noto Sans CJK SC"/>
      <family val="2"/>
    </font>
    <font>
      <sz val="10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1"/>
      <name val="Noto Sans CJK SC"/>
      <family val="2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EAF1FB"/>
        <bgColor rgb="FFF2F2F2"/>
      </patternFill>
    </fill>
    <fill>
      <patternFill patternType="solid">
        <fgColor rgb="FFFFF2CC"/>
        <bgColor rgb="FFFDF0E6"/>
      </patternFill>
    </fill>
    <fill>
      <patternFill patternType="solid">
        <fgColor rgb="FFFDF0E6"/>
        <bgColor rgb="FFF2F2F2"/>
      </patternFill>
    </fill>
    <fill>
      <patternFill patternType="solid">
        <fgColor rgb="FFEEF6EC"/>
        <bgColor rgb="FFF2F2F2"/>
      </patternFill>
    </fill>
    <fill>
      <patternFill patternType="solid">
        <fgColor rgb="FFF3EDF7"/>
        <bgColor rgb="FFF2F2F2"/>
      </patternFill>
    </fill>
    <fill>
      <patternFill patternType="solid">
        <fgColor rgb="FFF2F2F2"/>
        <bgColor rgb="FFF3ED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F3ED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6EC"/>
      <rgbColor rgb="FFF2F2F2"/>
      <rgbColor rgb="FFFDF0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36"/>
    <col collapsed="false" customWidth="true" hidden="false" outlineLevel="0" max="8" min="8" style="0" width="9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9.85" hidden="false" customHeight="false" outlineLevel="0" collapsed="false">
      <c r="A5" s="4" t="s">
        <v>10</v>
      </c>
      <c r="B5" s="5" t="s">
        <v>11</v>
      </c>
      <c r="C5" s="6" t="s">
        <v>12</v>
      </c>
      <c r="D5" s="4" t="s">
        <v>13</v>
      </c>
      <c r="E5" s="4" t="s">
        <v>14</v>
      </c>
      <c r="F5" s="7" t="s">
        <v>15</v>
      </c>
      <c r="G5" s="7" t="s">
        <v>16</v>
      </c>
      <c r="H5" s="8" t="s">
        <v>17</v>
      </c>
    </row>
    <row r="6" customFormat="false" ht="29.85" hidden="false" customHeight="false" outlineLevel="0" collapsed="false">
      <c r="A6" s="4" t="s">
        <v>10</v>
      </c>
      <c r="B6" s="5" t="s">
        <v>18</v>
      </c>
      <c r="C6" s="6" t="s">
        <v>19</v>
      </c>
      <c r="D6" s="4" t="s">
        <v>13</v>
      </c>
      <c r="E6" s="4" t="s">
        <v>14</v>
      </c>
      <c r="F6" s="7" t="s">
        <v>20</v>
      </c>
      <c r="G6" s="7" t="s">
        <v>21</v>
      </c>
      <c r="H6" s="8" t="s">
        <v>17</v>
      </c>
    </row>
    <row r="7" customFormat="false" ht="29.85" hidden="false" customHeight="false" outlineLevel="0" collapsed="false">
      <c r="A7" s="4" t="s">
        <v>10</v>
      </c>
      <c r="B7" s="5" t="s">
        <v>22</v>
      </c>
      <c r="C7" s="6" t="s">
        <v>23</v>
      </c>
      <c r="D7" s="4" t="s">
        <v>13</v>
      </c>
      <c r="E7" s="4" t="s">
        <v>14</v>
      </c>
      <c r="F7" s="7" t="s">
        <v>20</v>
      </c>
      <c r="G7" s="7" t="s">
        <v>24</v>
      </c>
      <c r="H7" s="8" t="s">
        <v>17</v>
      </c>
    </row>
    <row r="8" customFormat="false" ht="29.85" hidden="false" customHeight="false" outlineLevel="0" collapsed="false">
      <c r="A8" s="4" t="s">
        <v>10</v>
      </c>
      <c r="B8" s="5" t="s">
        <v>25</v>
      </c>
      <c r="C8" s="6" t="s">
        <v>26</v>
      </c>
      <c r="D8" s="4" t="s">
        <v>13</v>
      </c>
      <c r="E8" s="4" t="s">
        <v>14</v>
      </c>
      <c r="F8" s="7" t="s">
        <v>15</v>
      </c>
      <c r="G8" s="7" t="s">
        <v>27</v>
      </c>
      <c r="H8" s="8" t="s">
        <v>17</v>
      </c>
    </row>
    <row r="9" customFormat="false" ht="29.85" hidden="false" customHeight="false" outlineLevel="0" collapsed="false">
      <c r="A9" s="4" t="s">
        <v>10</v>
      </c>
      <c r="B9" s="5" t="s">
        <v>28</v>
      </c>
      <c r="C9" s="6" t="s">
        <v>29</v>
      </c>
      <c r="D9" s="4" t="s">
        <v>13</v>
      </c>
      <c r="E9" s="4" t="s">
        <v>14</v>
      </c>
      <c r="F9" s="7" t="s">
        <v>30</v>
      </c>
      <c r="G9" s="7" t="s">
        <v>31</v>
      </c>
      <c r="H9" s="8" t="s">
        <v>17</v>
      </c>
    </row>
    <row r="10" customFormat="false" ht="29.85" hidden="false" customHeight="false" outlineLevel="0" collapsed="false">
      <c r="A10" s="4" t="s">
        <v>10</v>
      </c>
      <c r="B10" s="5" t="s">
        <v>32</v>
      </c>
      <c r="C10" s="6" t="s">
        <v>33</v>
      </c>
      <c r="D10" s="4" t="s">
        <v>13</v>
      </c>
      <c r="E10" s="4" t="s">
        <v>14</v>
      </c>
      <c r="F10" s="7" t="s">
        <v>34</v>
      </c>
      <c r="G10" s="7" t="s">
        <v>35</v>
      </c>
      <c r="H10" s="8" t="s">
        <v>17</v>
      </c>
    </row>
    <row r="11" customFormat="false" ht="29.85" hidden="false" customHeight="false" outlineLevel="0" collapsed="false">
      <c r="A11" s="4" t="s">
        <v>10</v>
      </c>
      <c r="B11" s="5" t="s">
        <v>36</v>
      </c>
      <c r="C11" s="6" t="s">
        <v>37</v>
      </c>
      <c r="D11" s="7" t="s">
        <v>38</v>
      </c>
      <c r="E11" s="4" t="s">
        <v>32</v>
      </c>
      <c r="F11" s="7" t="s">
        <v>39</v>
      </c>
      <c r="G11" s="7" t="s">
        <v>40</v>
      </c>
      <c r="H11" s="8" t="s">
        <v>41</v>
      </c>
    </row>
    <row r="12" customFormat="false" ht="29.85" hidden="false" customHeight="false" outlineLevel="0" collapsed="false">
      <c r="A12" s="4" t="s">
        <v>10</v>
      </c>
      <c r="B12" s="5" t="s">
        <v>42</v>
      </c>
      <c r="C12" s="6" t="s">
        <v>43</v>
      </c>
      <c r="D12" s="4" t="s">
        <v>13</v>
      </c>
      <c r="E12" s="4" t="s">
        <v>36</v>
      </c>
      <c r="F12" s="4" t="s">
        <v>44</v>
      </c>
      <c r="G12" s="7" t="s">
        <v>45</v>
      </c>
      <c r="H12" s="8" t="s">
        <v>41</v>
      </c>
    </row>
    <row r="13" customFormat="false" ht="29.85" hidden="false" customHeight="false" outlineLevel="0" collapsed="false">
      <c r="A13" s="4" t="s">
        <v>10</v>
      </c>
      <c r="B13" s="5" t="s">
        <v>46</v>
      </c>
      <c r="C13" s="6" t="s">
        <v>47</v>
      </c>
      <c r="D13" s="4" t="s">
        <v>13</v>
      </c>
      <c r="E13" s="4" t="s">
        <v>36</v>
      </c>
      <c r="F13" s="7" t="s">
        <v>48</v>
      </c>
      <c r="G13" s="7" t="s">
        <v>49</v>
      </c>
      <c r="H13" s="8" t="s">
        <v>41</v>
      </c>
    </row>
    <row r="14" customFormat="false" ht="29.85" hidden="false" customHeight="false" outlineLevel="0" collapsed="false">
      <c r="A14" s="4" t="s">
        <v>10</v>
      </c>
      <c r="B14" s="5" t="s">
        <v>50</v>
      </c>
      <c r="C14" s="6" t="s">
        <v>51</v>
      </c>
      <c r="D14" s="4" t="s">
        <v>52</v>
      </c>
      <c r="E14" s="4" t="s">
        <v>14</v>
      </c>
      <c r="F14" s="7" t="s">
        <v>53</v>
      </c>
      <c r="G14" s="4" t="s">
        <v>54</v>
      </c>
      <c r="H14" s="8" t="s">
        <v>41</v>
      </c>
    </row>
    <row r="15" customFormat="false" ht="29.85" hidden="false" customHeight="false" outlineLevel="0" collapsed="false">
      <c r="A15" s="4" t="s">
        <v>10</v>
      </c>
      <c r="B15" s="5" t="s">
        <v>55</v>
      </c>
      <c r="C15" s="6" t="s">
        <v>56</v>
      </c>
      <c r="D15" s="7" t="s">
        <v>38</v>
      </c>
      <c r="E15" s="4" t="s">
        <v>36</v>
      </c>
      <c r="F15" s="7" t="s">
        <v>57</v>
      </c>
      <c r="G15" s="7" t="s">
        <v>58</v>
      </c>
      <c r="H15" s="8" t="s">
        <v>41</v>
      </c>
    </row>
    <row r="16" customFormat="false" ht="29.85" hidden="false" customHeight="false" outlineLevel="0" collapsed="false">
      <c r="A16" s="9" t="s">
        <v>59</v>
      </c>
      <c r="B16" s="10" t="s">
        <v>60</v>
      </c>
      <c r="C16" s="11" t="s">
        <v>61</v>
      </c>
      <c r="D16" s="12" t="s">
        <v>62</v>
      </c>
      <c r="E16" s="9" t="s">
        <v>42</v>
      </c>
      <c r="F16" s="12" t="s">
        <v>63</v>
      </c>
      <c r="G16" s="12" t="s">
        <v>64</v>
      </c>
      <c r="H16" s="8" t="s">
        <v>41</v>
      </c>
    </row>
    <row r="17" customFormat="false" ht="29.85" hidden="false" customHeight="false" outlineLevel="0" collapsed="false">
      <c r="A17" s="9" t="s">
        <v>59</v>
      </c>
      <c r="B17" s="10" t="s">
        <v>65</v>
      </c>
      <c r="C17" s="11" t="s">
        <v>66</v>
      </c>
      <c r="D17" s="9" t="s">
        <v>13</v>
      </c>
      <c r="E17" s="12" t="s">
        <v>67</v>
      </c>
      <c r="F17" s="12" t="s">
        <v>68</v>
      </c>
      <c r="G17" s="12" t="s">
        <v>69</v>
      </c>
      <c r="H17" s="8" t="s">
        <v>41</v>
      </c>
    </row>
    <row r="18" customFormat="false" ht="15" hidden="false" customHeight="false" outlineLevel="0" collapsed="false">
      <c r="A18" s="9" t="s">
        <v>59</v>
      </c>
      <c r="B18" s="10" t="s">
        <v>70</v>
      </c>
      <c r="C18" s="11" t="s">
        <v>71</v>
      </c>
      <c r="D18" s="9" t="s">
        <v>13</v>
      </c>
      <c r="E18" s="9" t="s">
        <v>72</v>
      </c>
      <c r="F18" s="12" t="s">
        <v>73</v>
      </c>
      <c r="G18" s="12" t="s">
        <v>74</v>
      </c>
      <c r="H18" s="8" t="s">
        <v>41</v>
      </c>
    </row>
    <row r="19" customFormat="false" ht="29.85" hidden="false" customHeight="false" outlineLevel="0" collapsed="false">
      <c r="A19" s="9" t="s">
        <v>59</v>
      </c>
      <c r="B19" s="10" t="s">
        <v>75</v>
      </c>
      <c r="C19" s="11" t="s">
        <v>76</v>
      </c>
      <c r="D19" s="12" t="s">
        <v>38</v>
      </c>
      <c r="E19" s="12" t="s">
        <v>67</v>
      </c>
      <c r="F19" s="12" t="s">
        <v>77</v>
      </c>
      <c r="G19" s="12" t="s">
        <v>78</v>
      </c>
      <c r="H19" s="8" t="s">
        <v>41</v>
      </c>
    </row>
    <row r="20" customFormat="false" ht="15" hidden="false" customHeight="false" outlineLevel="0" collapsed="false">
      <c r="A20" s="9" t="s">
        <v>59</v>
      </c>
      <c r="B20" s="10" t="s">
        <v>79</v>
      </c>
      <c r="C20" s="11" t="s">
        <v>80</v>
      </c>
      <c r="D20" s="12" t="s">
        <v>38</v>
      </c>
      <c r="E20" s="9" t="s">
        <v>81</v>
      </c>
      <c r="F20" s="12" t="s">
        <v>82</v>
      </c>
      <c r="G20" s="12" t="s">
        <v>83</v>
      </c>
      <c r="H20" s="8" t="s">
        <v>41</v>
      </c>
    </row>
    <row r="21" customFormat="false" ht="15" hidden="false" customHeight="false" outlineLevel="0" collapsed="false">
      <c r="A21" s="13" t="s">
        <v>84</v>
      </c>
      <c r="B21" s="14" t="s">
        <v>85</v>
      </c>
      <c r="C21" s="15" t="s">
        <v>86</v>
      </c>
      <c r="D21" s="16" t="s">
        <v>38</v>
      </c>
      <c r="E21" s="13" t="s">
        <v>87</v>
      </c>
      <c r="F21" s="16" t="s">
        <v>88</v>
      </c>
      <c r="G21" s="16" t="s">
        <v>89</v>
      </c>
      <c r="H21" s="8" t="s">
        <v>41</v>
      </c>
    </row>
    <row r="22" customFormat="false" ht="15" hidden="false" customHeight="false" outlineLevel="0" collapsed="false">
      <c r="A22" s="13" t="s">
        <v>84</v>
      </c>
      <c r="B22" s="14" t="s">
        <v>90</v>
      </c>
      <c r="C22" s="15" t="s">
        <v>91</v>
      </c>
      <c r="D22" s="13" t="s">
        <v>13</v>
      </c>
      <c r="E22" s="13" t="s">
        <v>92</v>
      </c>
      <c r="F22" s="16" t="s">
        <v>93</v>
      </c>
      <c r="G22" s="16" t="s">
        <v>94</v>
      </c>
      <c r="H22" s="8" t="s">
        <v>41</v>
      </c>
    </row>
    <row r="23" customFormat="false" ht="15" hidden="false" customHeight="false" outlineLevel="0" collapsed="false">
      <c r="A23" s="17" t="s">
        <v>95</v>
      </c>
      <c r="B23" s="18" t="s">
        <v>96</v>
      </c>
      <c r="C23" s="19" t="s">
        <v>97</v>
      </c>
      <c r="D23" s="17" t="s">
        <v>13</v>
      </c>
      <c r="E23" s="17" t="s">
        <v>98</v>
      </c>
      <c r="F23" s="20" t="s">
        <v>99</v>
      </c>
      <c r="G23" s="20" t="s">
        <v>100</v>
      </c>
      <c r="H23" s="8" t="s">
        <v>41</v>
      </c>
    </row>
    <row r="24" customFormat="false" ht="15" hidden="false" customHeight="false" outlineLevel="0" collapsed="false">
      <c r="A24" s="17" t="s">
        <v>95</v>
      </c>
      <c r="B24" s="18" t="s">
        <v>101</v>
      </c>
      <c r="C24" s="19" t="s">
        <v>102</v>
      </c>
      <c r="D24" s="17" t="s">
        <v>103</v>
      </c>
      <c r="E24" s="17" t="s">
        <v>96</v>
      </c>
      <c r="F24" s="20" t="s">
        <v>104</v>
      </c>
      <c r="G24" s="20" t="s">
        <v>105</v>
      </c>
      <c r="H24" s="8" t="s">
        <v>41</v>
      </c>
    </row>
    <row r="25" customFormat="false" ht="15" hidden="false" customHeight="false" outlineLevel="0" collapsed="false">
      <c r="A25" s="17" t="s">
        <v>95</v>
      </c>
      <c r="B25" s="18" t="s">
        <v>106</v>
      </c>
      <c r="C25" s="19" t="s">
        <v>107</v>
      </c>
      <c r="D25" s="17" t="s">
        <v>13</v>
      </c>
      <c r="E25" s="17" t="s">
        <v>101</v>
      </c>
      <c r="F25" s="20" t="s">
        <v>108</v>
      </c>
      <c r="G25" s="20" t="s">
        <v>109</v>
      </c>
      <c r="H25" s="8" t="s">
        <v>41</v>
      </c>
    </row>
    <row r="26" customFormat="false" ht="15" hidden="false" customHeight="false" outlineLevel="0" collapsed="false">
      <c r="A26" s="17" t="s">
        <v>95</v>
      </c>
      <c r="B26" s="18" t="s">
        <v>110</v>
      </c>
      <c r="C26" s="19" t="s">
        <v>111</v>
      </c>
      <c r="D26" s="17" t="s">
        <v>103</v>
      </c>
      <c r="E26" s="17" t="s">
        <v>106</v>
      </c>
      <c r="F26" s="20" t="s">
        <v>112</v>
      </c>
      <c r="G26" s="17" t="s">
        <v>113</v>
      </c>
      <c r="H26" s="8" t="s">
        <v>41</v>
      </c>
    </row>
    <row r="27" customFormat="false" ht="29.85" hidden="false" customHeight="false" outlineLevel="0" collapsed="false">
      <c r="A27" s="21" t="s">
        <v>114</v>
      </c>
      <c r="B27" s="22" t="s">
        <v>115</v>
      </c>
      <c r="C27" s="23" t="s">
        <v>116</v>
      </c>
      <c r="D27" s="21" t="s">
        <v>117</v>
      </c>
      <c r="E27" s="21" t="s">
        <v>110</v>
      </c>
      <c r="F27" s="24" t="s">
        <v>118</v>
      </c>
      <c r="G27" s="24" t="s">
        <v>119</v>
      </c>
      <c r="H27" s="8" t="s">
        <v>41</v>
      </c>
    </row>
    <row r="28" customFormat="false" ht="15" hidden="false" customHeight="false" outlineLevel="0" collapsed="false">
      <c r="A28" s="21" t="s">
        <v>114</v>
      </c>
      <c r="B28" s="22" t="s">
        <v>120</v>
      </c>
      <c r="C28" s="23" t="s">
        <v>121</v>
      </c>
      <c r="D28" s="24" t="s">
        <v>38</v>
      </c>
      <c r="E28" s="21" t="s">
        <v>115</v>
      </c>
      <c r="F28" s="24" t="s">
        <v>122</v>
      </c>
      <c r="G28" s="21" t="s">
        <v>14</v>
      </c>
      <c r="H28" s="8" t="s">
        <v>41</v>
      </c>
    </row>
    <row r="30" customFormat="false" ht="15" hidden="false" customHeight="false" outlineLevel="0" collapsed="false">
      <c r="A30" s="25" t="s">
        <v>123</v>
      </c>
      <c r="D30" s="25" t="s">
        <v>124</v>
      </c>
    </row>
    <row r="31" customFormat="false" ht="15" hidden="false" customHeight="false" outlineLevel="0" collapsed="false">
      <c r="A31" s="26" t="s">
        <v>41</v>
      </c>
      <c r="B31" s="26" t="n">
        <f aca="false">COUNTIF($H$5:$H$28,A31)</f>
        <v>18</v>
      </c>
      <c r="D31" s="26" t="s">
        <v>125</v>
      </c>
      <c r="E31" s="26" t="n">
        <f aca="false">COUNTIFS($D$5:$D$28,"*Claude*",$H$5:$H$28,"&lt;&gt;已完成")</f>
        <v>12</v>
      </c>
    </row>
    <row r="32" customFormat="false" ht="15" hidden="false" customHeight="false" outlineLevel="0" collapsed="false">
      <c r="A32" s="26" t="s">
        <v>126</v>
      </c>
      <c r="B32" s="26" t="n">
        <f aca="false">COUNTIF($H$5:$H$28,A32)</f>
        <v>0</v>
      </c>
      <c r="D32" s="26" t="s">
        <v>127</v>
      </c>
      <c r="E32" s="26" t="n">
        <f aca="false">COUNTIFS($D$5:$D$28,"*课题组*",$H$5:$H$28,"&lt;&gt;已完成")</f>
        <v>11</v>
      </c>
    </row>
    <row r="33" customFormat="false" ht="15" hidden="false" customHeight="false" outlineLevel="0" collapsed="false">
      <c r="A33" s="26" t="s">
        <v>17</v>
      </c>
      <c r="B33" s="26" t="n">
        <f aca="false">COUNTIF($H$5:$H$28,A33)</f>
        <v>6</v>
      </c>
    </row>
    <row r="34" customFormat="false" ht="15" hidden="false" customHeight="false" outlineLevel="0" collapsed="false">
      <c r="A34" s="26" t="s">
        <v>128</v>
      </c>
      <c r="B34" s="26" t="n">
        <f aca="false">COUNTIF($H$5:$H$28,A34)</f>
        <v>0</v>
      </c>
    </row>
    <row r="35" customFormat="false" ht="15" hidden="false" customHeight="false" outlineLevel="0" collapsed="false">
      <c r="A35" s="27" t="s">
        <v>129</v>
      </c>
      <c r="B35" s="27" t="n">
        <f aca="false">SUM(B31:B34)</f>
        <v>24</v>
      </c>
    </row>
  </sheetData>
  <dataValidations count="1">
    <dataValidation allowBlank="true" errorStyle="stop" operator="between" showDropDown="false" showErrorMessage="false" showInputMessage="false" sqref="H5:H28" type="list">
      <formula1>"未开始,进行中,已完成,暂缓"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28"/>
  </cols>
  <sheetData>
    <row r="1" customFormat="false" ht="20.1" hidden="false" customHeight="false" outlineLevel="0" collapsed="false">
      <c r="A1" s="28" t="s">
        <v>130</v>
      </c>
    </row>
    <row r="3" customFormat="false" ht="17.15" hidden="false" customHeight="false" outlineLevel="0" collapsed="false">
      <c r="A3" s="29" t="s">
        <v>3</v>
      </c>
      <c r="B3" s="29" t="s">
        <v>131</v>
      </c>
      <c r="C3" s="29" t="s">
        <v>132</v>
      </c>
      <c r="D3" s="29" t="s">
        <v>133</v>
      </c>
    </row>
    <row r="4" customFormat="false" ht="15" hidden="false" customHeight="false" outlineLevel="0" collapsed="false">
      <c r="A4" s="30" t="s">
        <v>134</v>
      </c>
      <c r="B4" s="31" t="s">
        <v>135</v>
      </c>
      <c r="C4" s="31" t="s">
        <v>136</v>
      </c>
      <c r="D4" s="32"/>
    </row>
    <row r="5" customFormat="false" ht="41" hidden="false" customHeight="false" outlineLevel="0" collapsed="false">
      <c r="A5" s="30" t="s">
        <v>137</v>
      </c>
      <c r="B5" s="31" t="s">
        <v>138</v>
      </c>
      <c r="C5" s="31" t="s">
        <v>139</v>
      </c>
      <c r="D5" s="32"/>
    </row>
    <row r="6" customFormat="false" ht="29.85" hidden="false" customHeight="false" outlineLevel="0" collapsed="false">
      <c r="A6" s="30" t="s">
        <v>140</v>
      </c>
      <c r="B6" s="30" t="s">
        <v>141</v>
      </c>
      <c r="C6" s="30" t="s">
        <v>142</v>
      </c>
      <c r="D6" s="32"/>
    </row>
    <row r="7" customFormat="false" ht="29.85" hidden="false" customHeight="false" outlineLevel="0" collapsed="false">
      <c r="A7" s="30" t="s">
        <v>143</v>
      </c>
      <c r="B7" s="31" t="s">
        <v>144</v>
      </c>
      <c r="C7" s="31" t="s">
        <v>145</v>
      </c>
      <c r="D7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2026-10-11T07:26:50Z</dcterms:created>
  <dc:creator>openpyxl</dc:creator>
  <dc:description/>
  <dc:language>en-US</dc:language>
  <cp:lastModifiedBy/>
  <dcterms:modified xsi:type="dcterms:W3CDTF">2026-10-11T07:26:50Z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